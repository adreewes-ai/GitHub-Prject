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dree\Downloads\"/>
    </mc:Choice>
  </mc:AlternateContent>
  <xr:revisionPtr revIDLastSave="0" documentId="8_{A5B0F8C8-145D-4308-9F9E-174507E4229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X Hedge Model" sheetId="1" r:id="rId1"/>
    <sheet name="Notes &amp; Assumptions" sheetId="2" r:id="rId2"/>
  </sheets>
  <definedNames>
    <definedName name="F0_in">'FX Hedge Model'!$B$13</definedName>
    <definedName name="FC_AMT">'FX Hedge Model'!$B$11</definedName>
    <definedName name="K_CALL">'FX Hedge Model'!$B$19</definedName>
    <definedName name="K_PUT">'FX Hedge Model'!$B$17</definedName>
    <definedName name="PREM_CALL">'FX Hedge Model'!$B$20</definedName>
    <definedName name="PREM_PUT">'FX Hedge Model'!$B$18</definedName>
    <definedName name="R_FC">'FX Hedge Model'!$B$15</definedName>
    <definedName name="R_USD">'FX Hedge Model'!$B$14</definedName>
    <definedName name="S0_in">'FX Hedge Model'!$B$12</definedName>
    <definedName name="T_DAYS">'FX Hedge Model'!$B$16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1" i="1" l="1"/>
  <c r="E58" i="1"/>
  <c r="B94" i="1" s="1"/>
  <c r="A58" i="1"/>
  <c r="B58" i="1" s="1"/>
  <c r="C57" i="1"/>
  <c r="B57" i="1"/>
  <c r="A57" i="1"/>
  <c r="B56" i="1"/>
  <c r="A56" i="1"/>
  <c r="E56" i="1" s="1"/>
  <c r="A55" i="1"/>
  <c r="B55" i="1" s="1"/>
  <c r="A54" i="1"/>
  <c r="E54" i="1" s="1"/>
  <c r="A53" i="1"/>
  <c r="E53" i="1" s="1"/>
  <c r="C52" i="1"/>
  <c r="B52" i="1"/>
  <c r="A52" i="1"/>
  <c r="C51" i="1"/>
  <c r="A51" i="1"/>
  <c r="E51" i="1" s="1"/>
  <c r="A50" i="1"/>
  <c r="B50" i="1" s="1"/>
  <c r="C49" i="1"/>
  <c r="B49" i="1"/>
  <c r="A49" i="1"/>
  <c r="B48" i="1"/>
  <c r="B95" i="1" s="1"/>
  <c r="A48" i="1"/>
  <c r="E48" i="1" s="1"/>
  <c r="B41" i="1"/>
  <c r="B42" i="1" s="1"/>
  <c r="B40" i="1"/>
  <c r="B96" i="1" s="1"/>
  <c r="B33" i="1"/>
  <c r="B34" i="1" s="1"/>
  <c r="B35" i="1" s="1"/>
  <c r="B29" i="1"/>
  <c r="C55" i="1" s="1"/>
  <c r="B25" i="1"/>
  <c r="B24" i="1"/>
  <c r="B23" i="1"/>
  <c r="B97" i="1" l="1"/>
  <c r="D58" i="1"/>
  <c r="D50" i="1"/>
  <c r="D54" i="1"/>
  <c r="D53" i="1"/>
  <c r="B36" i="1"/>
  <c r="D52" i="1"/>
  <c r="D56" i="1"/>
  <c r="D48" i="1"/>
  <c r="D55" i="1"/>
  <c r="D51" i="1"/>
  <c r="B92" i="1"/>
  <c r="D57" i="1"/>
  <c r="D49" i="1"/>
  <c r="B51" i="1"/>
  <c r="E52" i="1"/>
  <c r="C54" i="1"/>
  <c r="B54" i="1"/>
  <c r="B93" i="1"/>
  <c r="C48" i="1"/>
  <c r="B53" i="1"/>
  <c r="C56" i="1"/>
  <c r="E50" i="1"/>
  <c r="E55" i="1"/>
  <c r="E57" i="1"/>
  <c r="C53" i="1"/>
  <c r="E49" i="1"/>
  <c r="C50" i="1"/>
  <c r="C58" i="1"/>
</calcChain>
</file>

<file path=xl/sharedStrings.xml><?xml version="1.0" encoding="utf-8"?>
<sst xmlns="http://schemas.openxmlformats.org/spreadsheetml/2006/main" count="119" uniqueCount="119">
  <si>
    <t>FX RECEIVABLE HEDGE ANALYSIS — EUR 5,000,000 DUE AUGUST 1, 2026</t>
  </si>
  <si>
    <t>Prepared by: Treasury / Risk Management  |  Date: April 3, 2026</t>
  </si>
  <si>
    <t>COLOR KEY</t>
  </si>
  <si>
    <t>Yellow</t>
  </si>
  <si>
    <t>Inputs / Editable Variables</t>
  </si>
  <si>
    <t>Blue</t>
  </si>
  <si>
    <t>Assumptions</t>
  </si>
  <si>
    <t>Green</t>
  </si>
  <si>
    <t>Formulas / Intermediate Steps</t>
  </si>
  <si>
    <t>Gray</t>
  </si>
  <si>
    <t>Outputs / Summary KPIs</t>
  </si>
  <si>
    <t>SECTION 1 — INPUTS  (Yellow = Editable)</t>
  </si>
  <si>
    <t>Scenario Variables</t>
  </si>
  <si>
    <t>FC Amount (EUR)</t>
  </si>
  <si>
    <t>Named range: FC_AMT</t>
  </si>
  <si>
    <t>EUR/USD Spot Rate (S₀)</t>
  </si>
  <si>
    <t>Named range: S0_in</t>
  </si>
  <si>
    <t>EUR/USD 1-Year Forward Rate</t>
  </si>
  <si>
    <t>Named range: F0_in  |  Source: Bloomberg indicative, Apr 3 2026</t>
  </si>
  <si>
    <t>U.S. Interest Rate (domestic)</t>
  </si>
  <si>
    <t>Named range: R_USD  |  Source: Fed Funds effective rate, Apr 2026</t>
  </si>
  <si>
    <t>EUR Interest Rate (foreign)</t>
  </si>
  <si>
    <t>Named range: R_FC   |  Source: ECB deposit rate, Apr 2026</t>
  </si>
  <si>
    <t>Time Horizon (days)</t>
  </si>
  <si>
    <t>Named range: T_DAYS</t>
  </si>
  <si>
    <t>EUR Put Strike Price</t>
  </si>
  <si>
    <t>Named range: K_PUT</t>
  </si>
  <si>
    <t>EUR Put Premium (per EUR)</t>
  </si>
  <si>
    <t>Named range: PREM_PUT  |  ~1.1% of notional</t>
  </si>
  <si>
    <t>EUR Call Strike Price (ref)</t>
  </si>
  <si>
    <t>Named range: K_CALL  |  OTM call for upside ref</t>
  </si>
  <si>
    <t>EUR Call Premium (per EUR)</t>
  </si>
  <si>
    <t>Named range: PREM_CALL</t>
  </si>
  <si>
    <t>Derived / Calculated Inputs</t>
  </si>
  <si>
    <t>Time Horizon (years)  =  T_DAYS / 360</t>
  </si>
  <si>
    <t>USD Equivalent @ Spot  (FC_AMT × S0)</t>
  </si>
  <si>
    <t>1-cent Move Impact on USD Proceeds  (FC_AMT × 0.01)</t>
  </si>
  <si>
    <t>SECTION 2 — FORWARD HEDGE</t>
  </si>
  <si>
    <t>Sell EUR Forward at F₀ — Locks in USD amount regardless of future spot</t>
  </si>
  <si>
    <t>[a]  Locked-In USD Proceeds  =  FC_AMT × F0</t>
  </si>
  <si>
    <t>← LOCKED IN</t>
  </si>
  <si>
    <t>SECTION 3 — MONEY MARKET HEDGE</t>
  </si>
  <si>
    <t>Borrow in EUR → Convert at Spot → Invest in USD</t>
  </si>
  <si>
    <t>[a]  Borrow PV of EUR receivable  =  FC_AMT / (1 + R_FC × T)</t>
  </si>
  <si>
    <t>[b]  Convert [a] to USD at spot  =  [a] × S₀</t>
  </si>
  <si>
    <t>[c]  Invest [b] in USD for T years  =  [b] × (1 + R_USD × T)</t>
  </si>
  <si>
    <t>← LOCKED IN (≈ Forward)</t>
  </si>
  <si>
    <t>Parity Check  |  MM − Forward|  (should be &lt; $1,000)</t>
  </si>
  <si>
    <t>SECTION 4 — OPTION HEDGE  (EUR Put)</t>
  </si>
  <si>
    <t>Buy EUR Put at K_PUT — Downside floor, unlimited upside (net of premium)</t>
  </si>
  <si>
    <t>[a]  Total Put Premium Paid  =  FC_AMT × PREM_PUT</t>
  </si>
  <si>
    <t>[b]  FV of Premium (cost at maturity)  =  [a] × (1 + R_USD × T)</t>
  </si>
  <si>
    <t>[c]  Floor: Minimum USD Proceeds  =  FC_AMT × K_PUT − FV Premium</t>
  </si>
  <si>
    <t>← FLOOR (put exercised)</t>
  </si>
  <si>
    <t>Note: If S_T &gt; K_PUT, let put expire; USD proceeds = FC_AMT × S_T − FV Premium</t>
  </si>
  <si>
    <t>SECTION 5 — SENSITIVITY TABLE  (S_T range ±5% around S₀)</t>
  </si>
  <si>
    <t>USD Proceeds by Strategy at 11 Spot Rate Scenarios</t>
  </si>
  <si>
    <t>Future Spot S_T</t>
  </si>
  <si>
    <t>0. No Hedge</t>
  </si>
  <si>
    <t>1. Forward Hedge</t>
  </si>
  <si>
    <t>2. Money Market</t>
  </si>
  <si>
    <t>3. Option Hedge (Put)</t>
  </si>
  <si>
    <t>SECTION 6 — SUMMARY OUTPUT  (Gray = Locked Results)</t>
  </si>
  <si>
    <t>Hedge Outcomes at Key Scenarios</t>
  </si>
  <si>
    <t>Metric</t>
  </si>
  <si>
    <t>Value</t>
  </si>
  <si>
    <t>Notes</t>
  </si>
  <si>
    <t>Forward Hedge — Locked USD</t>
  </si>
  <si>
    <t>Certain; no upside</t>
  </si>
  <si>
    <t>Money Market Hedge — Locked USD</t>
  </si>
  <si>
    <t>Should ≈ Forward</t>
  </si>
  <si>
    <t>Option Floor (put exercised)</t>
  </si>
  <si>
    <t>Min proceeds net of premium FV</t>
  </si>
  <si>
    <t>Option Upside @ +5% Spot</t>
  </si>
  <si>
    <t>Put expires; upside retained</t>
  </si>
  <si>
    <t>No-Hedge @ −5% Spot (worst case)</t>
  </si>
  <si>
    <t>Unprotected downside</t>
  </si>
  <si>
    <t>Premium Cost (upfront USD)</t>
  </si>
  <si>
    <t>Cash outlay for put</t>
  </si>
  <si>
    <t>Parity: |MM − Fwd|</t>
  </si>
  <si>
    <t>Should be &lt; $1,000</t>
  </si>
  <si>
    <t>CFO Hedge Recommendation</t>
  </si>
  <si>
    <t>→ PENDING STAGE 4</t>
  </si>
  <si>
    <t>To be completed in Stage 4</t>
  </si>
  <si>
    <t>NOTES &amp; ASSUMPTIONS — FX Hedge Model  |  EUR 5M Receivable</t>
  </si>
  <si>
    <t>SECTION</t>
  </si>
  <si>
    <t>TOPIC</t>
  </si>
  <si>
    <t>Scenario</t>
  </si>
  <si>
    <t>Firm expects to receive EUR 5,000,000 from European customer on Aug 1, 2026 (~120 days).</t>
  </si>
  <si>
    <t>Spot Rate</t>
  </si>
  <si>
    <t>EUR/USD spot of 1.0820 as of April 3, 2026. Source: Bloomberg.</t>
  </si>
  <si>
    <t>Forward Rate</t>
  </si>
  <si>
    <t>EUR/USD 120-day forward of 1.0750 (indicative). Reflects USD–EUR interest rate differential via covered interest parity.</t>
  </si>
  <si>
    <t>USD Rate</t>
  </si>
  <si>
    <t>U.S. interest rate 5.25% (annualized, ACT/360 basis). Source: Federal Reserve, April 2026.</t>
  </si>
  <si>
    <t>EUR Rate</t>
  </si>
  <si>
    <t>EUR deposit rate 3.90% (annualized, ACT/360 basis). Source: ECB, April 2026.</t>
  </si>
  <si>
    <t>Day Count</t>
  </si>
  <si>
    <t>All interest rate calculations use ACT/360 convention (T/360). Consistent with FX market standard.</t>
  </si>
  <si>
    <t>Put Strike</t>
  </si>
  <si>
    <t>Put strike set equal to forward rate (1.0750) — at-the-money-forward. Standard market convention for hedging.</t>
  </si>
  <si>
    <t>Put Premium</t>
  </si>
  <si>
    <t>Put premium of 0.0120 per EUR (~1.1% of notional) is indicative. Actual premium obtained from bank quote.</t>
  </si>
  <si>
    <t>Call Strike</t>
  </si>
  <si>
    <t>OTM call at 1.0900 included for reference; not used in primary hedge recommendation.</t>
  </si>
  <si>
    <t>Call Premium</t>
  </si>
  <si>
    <t>Call premium of 0.0090 per EUR, indicative.</t>
  </si>
  <si>
    <t>Bid-Ask</t>
  </si>
  <si>
    <t>Bid-ask spreads on spot, forward, and options are ignored for simplicity. Real-world costs will reduce all proceeds slightly.</t>
  </si>
  <si>
    <t>Credit Risk</t>
  </si>
  <si>
    <t>Forward contract counterparty credit risk not modeled. Assume bank-grade counterparty with ISDA master agreement.</t>
  </si>
  <si>
    <t>No Margin</t>
  </si>
  <si>
    <t>Option premium is assumed paid upfront; no margin / collateral calls modeled.</t>
  </si>
  <si>
    <t>MM Parity</t>
  </si>
  <si>
    <t>Money Market and Forward hedge results should agree within rounding (&lt;$1,000). Divergence signals a rate-basis error.</t>
  </si>
  <si>
    <t>Sensitivity</t>
  </si>
  <si>
    <t>Sensitivity range ±5% around S₀ (1.0279–1.1361) captures realistic 120-day EUR/USD move based on historical vol ~7% annualized.</t>
  </si>
  <si>
    <t>Stage 4</t>
  </si>
  <si>
    <t>Hedge recommendation row in Summary is intentionally blank; to be completed in Stage 4 after reviewing model outputs.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</si>
</sst>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000"/>
    <numFmt numFmtId="166" formatCode="0.000%"/>
    <numFmt numFmtId="167" formatCode="\$#,##0.00;&quot;($&quot;#,##0.00\);\-"/>
  </numFmts>
  <fonts count="16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i/>
      <sz val="1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595959"/>
      <name val="Arial"/>
      <family val="2"/>
    </font>
    <font>
      <b/>
      <sz val="11"/>
      <color rgb="FF1F4E79"/>
      <name val="Arial"/>
      <family val="2"/>
    </font>
    <font>
      <b/>
      <sz val="11"/>
      <color rgb="FFC0000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0"/>
      <color rgb="FF595959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EFF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EFF"/>
      </patternFill>
    </fill>
    <fill>
      <patternFill patternType="solid">
        <fgColor rgb="FFD9D9D9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33300"/>
      </patternFill>
    </fill>
    <fill>
      <patternFill patternType="solid">
        <fgColor rgb="FFFFD7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4" fillId="0" borderId="0" xfId="0" applyFont="1"/>
    <xf numFmtId="0" fontId="12" fillId="8" borderId="0" xfId="0" applyFont="1" applyFill="1" applyAlignment="1">
      <alignment horizontal="center" vertical="center"/>
    </xf>
    <xf numFmtId="0" fontId="3" fillId="6" borderId="0" xfId="0" applyFont="1" applyFill="1"/>
    <xf numFmtId="0" fontId="2" fillId="0" borderId="0" xfId="0" applyFont="1" applyAlignment="1">
      <alignment horizontal="left" vertical="center"/>
    </xf>
    <xf numFmtId="0" fontId="8" fillId="0" borderId="0" xfId="0" applyFont="1"/>
    <xf numFmtId="0" fontId="3" fillId="3" borderId="0" xfId="0" applyFont="1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0" fontId="4" fillId="3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0" borderId="0" xfId="0" applyFont="1" applyAlignment="1">
      <alignment horizontal="left" vertical="center"/>
    </xf>
    <xf numFmtId="164" fontId="7" fillId="4" borderId="0" xfId="0" applyNumberFormat="1" applyFont="1" applyFill="1" applyAlignment="1">
      <alignment horizontal="right" vertical="center"/>
    </xf>
    <xf numFmtId="165" fontId="7" fillId="4" borderId="0" xfId="0" applyNumberFormat="1" applyFont="1" applyFill="1" applyAlignment="1">
      <alignment horizontal="right" vertical="center"/>
    </xf>
    <xf numFmtId="166" fontId="7" fillId="4" borderId="0" xfId="0" applyNumberFormat="1" applyFont="1" applyFill="1" applyAlignment="1">
      <alignment horizontal="right" vertical="center"/>
    </xf>
    <xf numFmtId="3" fontId="7" fillId="4" borderId="0" xfId="0" applyNumberFormat="1" applyFont="1" applyFill="1" applyAlignment="1">
      <alignment horizontal="right" vertical="center"/>
    </xf>
    <xf numFmtId="165" fontId="6" fillId="5" borderId="0" xfId="0" applyNumberFormat="1" applyFont="1" applyFill="1" applyAlignment="1">
      <alignment horizontal="right" vertical="center"/>
    </xf>
    <xf numFmtId="164" fontId="6" fillId="5" borderId="0" xfId="0" applyNumberFormat="1" applyFont="1" applyFill="1" applyAlignment="1">
      <alignment horizontal="right" vertical="center"/>
    </xf>
    <xf numFmtId="0" fontId="9" fillId="0" borderId="0" xfId="0" applyFont="1"/>
    <xf numFmtId="167" fontId="6" fillId="5" borderId="0" xfId="0" applyNumberFormat="1" applyFont="1" applyFill="1" applyAlignment="1">
      <alignment horizontal="right" vertical="center"/>
    </xf>
    <xf numFmtId="0" fontId="10" fillId="0" borderId="0" xfId="0" applyFont="1"/>
    <xf numFmtId="0" fontId="11" fillId="7" borderId="1" xfId="0" applyFon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/>
    <xf numFmtId="0" fontId="12" fillId="8" borderId="0" xfId="0" applyFont="1" applyFill="1" applyAlignment="1">
      <alignment horizontal="center" vertical="center"/>
    </xf>
    <xf numFmtId="0" fontId="13" fillId="0" borderId="0" xfId="0" applyFont="1"/>
    <xf numFmtId="164" fontId="6" fillId="6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right" vertical="center"/>
    </xf>
    <xf numFmtId="0" fontId="12" fillId="7" borderId="0" xfId="0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USD Proceeds by Hedge Strategy (EUR/USD Scenarios)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Hedge</c:v>
          </c:tx>
          <c:spPr>
            <a:ln w="475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Model'!$A$48:$A$58</c:f>
              <c:numCache>
                <c:formatCode>0.0000</c:formatCode>
                <c:ptCount val="11"/>
                <c:pt idx="0">
                  <c:v>1.0279</c:v>
                </c:pt>
                <c:pt idx="1">
                  <c:v>1.0387200000000001</c:v>
                </c:pt>
                <c:pt idx="2">
                  <c:v>1.0495400000000001</c:v>
                </c:pt>
                <c:pt idx="3">
                  <c:v>1.06036</c:v>
                </c:pt>
                <c:pt idx="4">
                  <c:v>1.07118</c:v>
                </c:pt>
                <c:pt idx="5">
                  <c:v>1.0820000000000001</c:v>
                </c:pt>
                <c:pt idx="6">
                  <c:v>1.0928200000000001</c:v>
                </c:pt>
                <c:pt idx="7">
                  <c:v>1.1036400000000002</c:v>
                </c:pt>
                <c:pt idx="8">
                  <c:v>1.11446</c:v>
                </c:pt>
                <c:pt idx="9">
                  <c:v>1.1252800000000001</c:v>
                </c:pt>
                <c:pt idx="10">
                  <c:v>1.1361000000000001</c:v>
                </c:pt>
              </c:numCache>
            </c:numRef>
          </c:cat>
          <c:val>
            <c:numRef>
              <c:f>'FX Hedge Model'!$B$48:$B$58</c:f>
              <c:numCache>
                <c:formatCode>\$#,##0;"($"#,##0\);\-</c:formatCode>
                <c:ptCount val="11"/>
                <c:pt idx="0">
                  <c:v>5139500</c:v>
                </c:pt>
                <c:pt idx="1">
                  <c:v>5193600</c:v>
                </c:pt>
                <c:pt idx="2">
                  <c:v>5247700.0000000009</c:v>
                </c:pt>
                <c:pt idx="3">
                  <c:v>5301800</c:v>
                </c:pt>
                <c:pt idx="4">
                  <c:v>5355900</c:v>
                </c:pt>
                <c:pt idx="5">
                  <c:v>5410000</c:v>
                </c:pt>
                <c:pt idx="6">
                  <c:v>5464100.0000000009</c:v>
                </c:pt>
                <c:pt idx="7">
                  <c:v>5518200.0000000009</c:v>
                </c:pt>
                <c:pt idx="8">
                  <c:v>5572300</c:v>
                </c:pt>
                <c:pt idx="9">
                  <c:v>5626400</c:v>
                </c:pt>
                <c:pt idx="10">
                  <c:v>5680500.0000000009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F9-4498-86C7-1554C1281903}"/>
            </c:ext>
          </c:extLst>
        </c:ser>
        <c:ser>
          <c:idx val="1"/>
          <c:order val="1"/>
          <c:tx>
            <c:v>Forward Hedge</c:v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Model'!$A$48:$A$58</c:f>
              <c:numCache>
                <c:formatCode>0.0000</c:formatCode>
                <c:ptCount val="11"/>
                <c:pt idx="0">
                  <c:v>1.0279</c:v>
                </c:pt>
                <c:pt idx="1">
                  <c:v>1.0387200000000001</c:v>
                </c:pt>
                <c:pt idx="2">
                  <c:v>1.0495400000000001</c:v>
                </c:pt>
                <c:pt idx="3">
                  <c:v>1.06036</c:v>
                </c:pt>
                <c:pt idx="4">
                  <c:v>1.07118</c:v>
                </c:pt>
                <c:pt idx="5">
                  <c:v>1.0820000000000001</c:v>
                </c:pt>
                <c:pt idx="6">
                  <c:v>1.0928200000000001</c:v>
                </c:pt>
                <c:pt idx="7">
                  <c:v>1.1036400000000002</c:v>
                </c:pt>
                <c:pt idx="8">
                  <c:v>1.11446</c:v>
                </c:pt>
                <c:pt idx="9">
                  <c:v>1.1252800000000001</c:v>
                </c:pt>
                <c:pt idx="10">
                  <c:v>1.1361000000000001</c:v>
                </c:pt>
              </c:numCache>
            </c:numRef>
          </c:cat>
          <c:val>
            <c:numRef>
              <c:f>'FX Hedge Model'!$C$48:$C$58</c:f>
              <c:numCache>
                <c:formatCode>\$#,##0;"($"#,##0\);\-</c:formatCode>
                <c:ptCount val="11"/>
                <c:pt idx="0">
                  <c:v>5375000</c:v>
                </c:pt>
                <c:pt idx="1">
                  <c:v>5375000</c:v>
                </c:pt>
                <c:pt idx="2">
                  <c:v>5375000</c:v>
                </c:pt>
                <c:pt idx="3">
                  <c:v>5375000</c:v>
                </c:pt>
                <c:pt idx="4">
                  <c:v>5375000</c:v>
                </c:pt>
                <c:pt idx="5">
                  <c:v>5375000</c:v>
                </c:pt>
                <c:pt idx="6">
                  <c:v>5375000</c:v>
                </c:pt>
                <c:pt idx="7">
                  <c:v>5375000</c:v>
                </c:pt>
                <c:pt idx="8">
                  <c:v>5375000</c:v>
                </c:pt>
                <c:pt idx="9">
                  <c:v>5375000</c:v>
                </c:pt>
                <c:pt idx="10">
                  <c:v>5375000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F9-4498-86C7-1554C1281903}"/>
            </c:ext>
          </c:extLst>
        </c:ser>
        <c:ser>
          <c:idx val="2"/>
          <c:order val="2"/>
          <c:tx>
            <c:v>Money Market</c:v>
          </c:tx>
          <c:spPr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Model'!$A$48:$A$58</c:f>
              <c:numCache>
                <c:formatCode>0.0000</c:formatCode>
                <c:ptCount val="11"/>
                <c:pt idx="0">
                  <c:v>1.0279</c:v>
                </c:pt>
                <c:pt idx="1">
                  <c:v>1.0387200000000001</c:v>
                </c:pt>
                <c:pt idx="2">
                  <c:v>1.0495400000000001</c:v>
                </c:pt>
                <c:pt idx="3">
                  <c:v>1.06036</c:v>
                </c:pt>
                <c:pt idx="4">
                  <c:v>1.07118</c:v>
                </c:pt>
                <c:pt idx="5">
                  <c:v>1.0820000000000001</c:v>
                </c:pt>
                <c:pt idx="6">
                  <c:v>1.0928200000000001</c:v>
                </c:pt>
                <c:pt idx="7">
                  <c:v>1.1036400000000002</c:v>
                </c:pt>
                <c:pt idx="8">
                  <c:v>1.11446</c:v>
                </c:pt>
                <c:pt idx="9">
                  <c:v>1.1252800000000001</c:v>
                </c:pt>
                <c:pt idx="10">
                  <c:v>1.1361000000000001</c:v>
                </c:pt>
              </c:numCache>
            </c:numRef>
          </c:cat>
          <c:val>
            <c:numRef>
              <c:f>'FX Hedge Model'!$D$48:$D$58</c:f>
              <c:numCache>
                <c:formatCode>\$#,##0;"($"#,##0\);\-</c:formatCode>
                <c:ptCount val="11"/>
                <c:pt idx="0">
                  <c:v>5434032.576505431</c:v>
                </c:pt>
                <c:pt idx="1">
                  <c:v>5434032.576505431</c:v>
                </c:pt>
                <c:pt idx="2">
                  <c:v>5434032.576505431</c:v>
                </c:pt>
                <c:pt idx="3">
                  <c:v>5434032.576505431</c:v>
                </c:pt>
                <c:pt idx="4">
                  <c:v>5434032.576505431</c:v>
                </c:pt>
                <c:pt idx="5">
                  <c:v>5434032.576505431</c:v>
                </c:pt>
                <c:pt idx="6">
                  <c:v>5434032.576505431</c:v>
                </c:pt>
                <c:pt idx="7">
                  <c:v>5434032.576505431</c:v>
                </c:pt>
                <c:pt idx="8">
                  <c:v>5434032.576505431</c:v>
                </c:pt>
                <c:pt idx="9">
                  <c:v>5434032.576505431</c:v>
                </c:pt>
                <c:pt idx="10">
                  <c:v>5434032.576505431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F9-4498-86C7-1554C1281903}"/>
            </c:ext>
          </c:extLst>
        </c:ser>
        <c:ser>
          <c:idx val="3"/>
          <c:order val="3"/>
          <c:tx>
            <c:v>Option (Put)</c:v>
          </c:tx>
          <c:spPr>
            <a:ln w="47520">
              <a:solidFill>
                <a:srgbClr val="FF99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Model'!$A$48:$A$58</c:f>
              <c:numCache>
                <c:formatCode>0.0000</c:formatCode>
                <c:ptCount val="11"/>
                <c:pt idx="0">
                  <c:v>1.0279</c:v>
                </c:pt>
                <c:pt idx="1">
                  <c:v>1.0387200000000001</c:v>
                </c:pt>
                <c:pt idx="2">
                  <c:v>1.0495400000000001</c:v>
                </c:pt>
                <c:pt idx="3">
                  <c:v>1.06036</c:v>
                </c:pt>
                <c:pt idx="4">
                  <c:v>1.07118</c:v>
                </c:pt>
                <c:pt idx="5">
                  <c:v>1.0820000000000001</c:v>
                </c:pt>
                <c:pt idx="6">
                  <c:v>1.0928200000000001</c:v>
                </c:pt>
                <c:pt idx="7">
                  <c:v>1.1036400000000002</c:v>
                </c:pt>
                <c:pt idx="8">
                  <c:v>1.11446</c:v>
                </c:pt>
                <c:pt idx="9">
                  <c:v>1.1252800000000001</c:v>
                </c:pt>
                <c:pt idx="10">
                  <c:v>1.1361000000000001</c:v>
                </c:pt>
              </c:numCache>
            </c:numRef>
          </c:cat>
          <c:val>
            <c:numRef>
              <c:f>'FX Hedge Model'!$E$48:$E$58</c:f>
              <c:numCache>
                <c:formatCode>\$#,##0;"($"#,##0\);\-</c:formatCode>
                <c:ptCount val="11"/>
                <c:pt idx="0">
                  <c:v>5313950</c:v>
                </c:pt>
                <c:pt idx="1">
                  <c:v>5313950</c:v>
                </c:pt>
                <c:pt idx="2">
                  <c:v>5313950</c:v>
                </c:pt>
                <c:pt idx="3">
                  <c:v>5313950</c:v>
                </c:pt>
                <c:pt idx="4">
                  <c:v>5313950</c:v>
                </c:pt>
                <c:pt idx="5">
                  <c:v>5348950</c:v>
                </c:pt>
                <c:pt idx="6">
                  <c:v>5403050.0000000009</c:v>
                </c:pt>
                <c:pt idx="7">
                  <c:v>5457150.0000000009</c:v>
                </c:pt>
                <c:pt idx="8">
                  <c:v>5511250</c:v>
                </c:pt>
                <c:pt idx="9">
                  <c:v>5565350</c:v>
                </c:pt>
                <c:pt idx="10">
                  <c:v>5619450.0000000009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9F9-4498-86C7-1554C1281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918743"/>
        <c:axId val="83849841"/>
      </c:lineChart>
      <c:catAx>
        <c:axId val="49918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EUR/USD Future Spot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49841"/>
        <c:crosses val="autoZero"/>
        <c:auto val="1"/>
        <c:lblAlgn val="ctr"/>
        <c:lblOffset val="100"/>
        <c:noMultiLvlLbl val="0"/>
      </c:catAx>
      <c:valAx>
        <c:axId val="83849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918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5</xdr:col>
      <xdr:colOff>25200</xdr:colOff>
      <xdr:row>85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20" customWidth="1"/>
    <col min="3" max="4" width="16" customWidth="1"/>
    <col min="5" max="5" width="22" customWidth="1"/>
  </cols>
  <sheetData>
    <row r="1" spans="1:4" ht="19.5" customHeight="1" x14ac:dyDescent="0.3">
      <c r="A1" s="8" t="s">
        <v>0</v>
      </c>
      <c r="B1" s="8"/>
      <c r="C1" s="8"/>
      <c r="D1" s="8"/>
    </row>
    <row r="2" spans="1:4" x14ac:dyDescent="0.3">
      <c r="A2" s="7" t="s">
        <v>1</v>
      </c>
      <c r="B2" s="7"/>
      <c r="C2" s="7"/>
      <c r="D2" s="7"/>
    </row>
    <row r="3" spans="1:4" ht="15.75" customHeight="1" x14ac:dyDescent="0.3">
      <c r="A3" s="6" t="s">
        <v>2</v>
      </c>
      <c r="B3" s="6"/>
      <c r="C3" s="6"/>
      <c r="D3" s="6"/>
    </row>
    <row r="4" spans="1:4" x14ac:dyDescent="0.3">
      <c r="A4" s="9" t="s">
        <v>3</v>
      </c>
      <c r="B4" s="10" t="s">
        <v>4</v>
      </c>
    </row>
    <row r="5" spans="1:4" x14ac:dyDescent="0.3">
      <c r="A5" s="11" t="s">
        <v>5</v>
      </c>
      <c r="B5" s="10" t="s">
        <v>6</v>
      </c>
    </row>
    <row r="6" spans="1:4" x14ac:dyDescent="0.3">
      <c r="A6" s="12" t="s">
        <v>7</v>
      </c>
      <c r="B6" s="10" t="s">
        <v>8</v>
      </c>
    </row>
    <row r="7" spans="1:4" x14ac:dyDescent="0.3">
      <c r="A7" s="13" t="s">
        <v>9</v>
      </c>
      <c r="B7" s="10" t="s">
        <v>10</v>
      </c>
    </row>
    <row r="9" spans="1:4" ht="19.5" customHeight="1" x14ac:dyDescent="0.3">
      <c r="A9" s="8" t="s">
        <v>11</v>
      </c>
      <c r="B9" s="8"/>
      <c r="C9" s="8"/>
      <c r="D9" s="8"/>
    </row>
    <row r="10" spans="1:4" ht="15.75" customHeight="1" x14ac:dyDescent="0.3">
      <c r="A10" s="6" t="s">
        <v>12</v>
      </c>
      <c r="B10" s="6"/>
      <c r="C10" s="6"/>
      <c r="D10" s="6"/>
    </row>
    <row r="11" spans="1:4" x14ac:dyDescent="0.3">
      <c r="A11" s="14" t="s">
        <v>13</v>
      </c>
      <c r="B11" s="15">
        <v>5000000</v>
      </c>
      <c r="C11" s="5" t="s">
        <v>14</v>
      </c>
      <c r="D11" s="5"/>
    </row>
    <row r="12" spans="1:4" x14ac:dyDescent="0.3">
      <c r="A12" s="14" t="s">
        <v>15</v>
      </c>
      <c r="B12" s="16">
        <v>1.0820000000000001</v>
      </c>
      <c r="C12" s="5" t="s">
        <v>16</v>
      </c>
      <c r="D12" s="5"/>
    </row>
    <row r="13" spans="1:4" x14ac:dyDescent="0.3">
      <c r="A13" s="14" t="s">
        <v>17</v>
      </c>
      <c r="B13" s="16">
        <v>1.075</v>
      </c>
      <c r="C13" s="5" t="s">
        <v>18</v>
      </c>
      <c r="D13" s="5"/>
    </row>
    <row r="14" spans="1:4" x14ac:dyDescent="0.3">
      <c r="A14" s="14" t="s">
        <v>19</v>
      </c>
      <c r="B14" s="17">
        <v>5.2499999999999998E-2</v>
      </c>
      <c r="C14" s="5" t="s">
        <v>20</v>
      </c>
      <c r="D14" s="5"/>
    </row>
    <row r="15" spans="1:4" x14ac:dyDescent="0.3">
      <c r="A15" s="14" t="s">
        <v>21</v>
      </c>
      <c r="B15" s="17">
        <v>3.9E-2</v>
      </c>
      <c r="C15" s="5" t="s">
        <v>22</v>
      </c>
      <c r="D15" s="5"/>
    </row>
    <row r="16" spans="1:4" x14ac:dyDescent="0.3">
      <c r="A16" s="14" t="s">
        <v>23</v>
      </c>
      <c r="B16" s="18">
        <v>120</v>
      </c>
      <c r="C16" s="5" t="s">
        <v>24</v>
      </c>
      <c r="D16" s="5"/>
    </row>
    <row r="17" spans="1:4" x14ac:dyDescent="0.3">
      <c r="A17" s="14" t="s">
        <v>25</v>
      </c>
      <c r="B17" s="16">
        <v>1.075</v>
      </c>
      <c r="C17" s="5" t="s">
        <v>26</v>
      </c>
      <c r="D17" s="5"/>
    </row>
    <row r="18" spans="1:4" x14ac:dyDescent="0.3">
      <c r="A18" s="14" t="s">
        <v>27</v>
      </c>
      <c r="B18" s="16">
        <v>1.2E-2</v>
      </c>
      <c r="C18" s="5" t="s">
        <v>28</v>
      </c>
      <c r="D18" s="5"/>
    </row>
    <row r="19" spans="1:4" x14ac:dyDescent="0.3">
      <c r="A19" s="14" t="s">
        <v>29</v>
      </c>
      <c r="B19" s="16">
        <v>1.0900000000000001</v>
      </c>
      <c r="C19" s="5" t="s">
        <v>30</v>
      </c>
      <c r="D19" s="5"/>
    </row>
    <row r="20" spans="1:4" x14ac:dyDescent="0.3">
      <c r="A20" s="14" t="s">
        <v>31</v>
      </c>
      <c r="B20" s="16">
        <v>8.9999999999999993E-3</v>
      </c>
      <c r="C20" s="5" t="s">
        <v>32</v>
      </c>
      <c r="D20" s="5"/>
    </row>
    <row r="22" spans="1:4" ht="15.75" customHeight="1" x14ac:dyDescent="0.3">
      <c r="A22" s="6" t="s">
        <v>33</v>
      </c>
      <c r="B22" s="6"/>
      <c r="C22" s="6"/>
      <c r="D22" s="6"/>
    </row>
    <row r="23" spans="1:4" x14ac:dyDescent="0.3">
      <c r="A23" s="14" t="s">
        <v>34</v>
      </c>
      <c r="B23" s="19">
        <f>T_DAYS/360</f>
        <v>0.33333333333333331</v>
      </c>
    </row>
    <row r="24" spans="1:4" x14ac:dyDescent="0.3">
      <c r="A24" s="14" t="s">
        <v>35</v>
      </c>
      <c r="B24" s="20">
        <f>FC_AMT*S0_in</f>
        <v>5410000</v>
      </c>
    </row>
    <row r="25" spans="1:4" x14ac:dyDescent="0.3">
      <c r="A25" s="14" t="s">
        <v>36</v>
      </c>
      <c r="B25" s="20">
        <f>FC_AMT*0.01</f>
        <v>50000</v>
      </c>
    </row>
    <row r="27" spans="1:4" ht="19.5" customHeight="1" x14ac:dyDescent="0.3">
      <c r="A27" s="8" t="s">
        <v>37</v>
      </c>
      <c r="B27" s="8"/>
      <c r="C27" s="8"/>
      <c r="D27" s="8"/>
    </row>
    <row r="28" spans="1:4" ht="15.75" customHeight="1" x14ac:dyDescent="0.3">
      <c r="A28" s="6" t="s">
        <v>38</v>
      </c>
      <c r="B28" s="6"/>
      <c r="C28" s="6"/>
      <c r="D28" s="6"/>
    </row>
    <row r="29" spans="1:4" x14ac:dyDescent="0.3">
      <c r="A29" s="14" t="s">
        <v>39</v>
      </c>
      <c r="B29" s="20">
        <f>FC_AMT*F0_in</f>
        <v>5375000</v>
      </c>
      <c r="C29" s="21" t="s">
        <v>40</v>
      </c>
    </row>
    <row r="31" spans="1:4" ht="19.5" customHeight="1" x14ac:dyDescent="0.3">
      <c r="A31" s="8" t="s">
        <v>41</v>
      </c>
      <c r="B31" s="8"/>
      <c r="C31" s="8"/>
      <c r="D31" s="8"/>
    </row>
    <row r="32" spans="1:4" ht="15.75" customHeight="1" x14ac:dyDescent="0.3">
      <c r="A32" s="6" t="s">
        <v>42</v>
      </c>
      <c r="B32" s="6"/>
      <c r="C32" s="6"/>
      <c r="D32" s="6"/>
    </row>
    <row r="33" spans="1:5" x14ac:dyDescent="0.3">
      <c r="A33" s="14" t="s">
        <v>43</v>
      </c>
      <c r="B33" s="22">
        <f>FC_AMT/(1+R_FC*('FX Hedge Model'!B23))</f>
        <v>4935834.1559723597</v>
      </c>
    </row>
    <row r="34" spans="1:5" x14ac:dyDescent="0.3">
      <c r="A34" s="14" t="s">
        <v>44</v>
      </c>
      <c r="B34" s="22">
        <f>B33*S0_in</f>
        <v>5340572.5567620937</v>
      </c>
    </row>
    <row r="35" spans="1:5" x14ac:dyDescent="0.3">
      <c r="A35" s="14" t="s">
        <v>45</v>
      </c>
      <c r="B35" s="20">
        <f>B34*(1+R_USD*('FX Hedge Model'!B23))</f>
        <v>5434032.576505431</v>
      </c>
      <c r="C35" s="21" t="s">
        <v>46</v>
      </c>
    </row>
    <row r="36" spans="1:5" x14ac:dyDescent="0.3">
      <c r="A36" s="14" t="s">
        <v>47</v>
      </c>
      <c r="B36" s="20">
        <f>ABS(B35-B29)</f>
        <v>59032.576505430974</v>
      </c>
    </row>
    <row r="38" spans="1:5" ht="19.5" customHeight="1" x14ac:dyDescent="0.3">
      <c r="A38" s="8" t="s">
        <v>48</v>
      </c>
      <c r="B38" s="8"/>
      <c r="C38" s="8"/>
      <c r="D38" s="8"/>
    </row>
    <row r="39" spans="1:5" ht="15.75" customHeight="1" x14ac:dyDescent="0.3">
      <c r="A39" s="6" t="s">
        <v>49</v>
      </c>
      <c r="B39" s="6"/>
      <c r="C39" s="6"/>
      <c r="D39" s="6"/>
    </row>
    <row r="40" spans="1:5" x14ac:dyDescent="0.3">
      <c r="A40" s="14" t="s">
        <v>50</v>
      </c>
      <c r="B40" s="20">
        <f>FC_AMT*PREM_PUT</f>
        <v>60000</v>
      </c>
    </row>
    <row r="41" spans="1:5" x14ac:dyDescent="0.3">
      <c r="A41" s="14" t="s">
        <v>51</v>
      </c>
      <c r="B41" s="20">
        <f>B40*(1+R_USD*('FX Hedge Model'!B23))</f>
        <v>61050.000000000007</v>
      </c>
    </row>
    <row r="42" spans="1:5" x14ac:dyDescent="0.3">
      <c r="A42" s="14" t="s">
        <v>52</v>
      </c>
      <c r="B42" s="20">
        <f>FC_AMT*K_PUT-B41</f>
        <v>5313950</v>
      </c>
      <c r="C42" s="23" t="s">
        <v>53</v>
      </c>
    </row>
    <row r="43" spans="1:5" x14ac:dyDescent="0.3">
      <c r="A43" s="4" t="s">
        <v>54</v>
      </c>
      <c r="B43" s="4"/>
      <c r="C43" s="4"/>
      <c r="D43" s="4"/>
    </row>
    <row r="45" spans="1:5" ht="19.5" customHeight="1" x14ac:dyDescent="0.3">
      <c r="A45" s="8" t="s">
        <v>55</v>
      </c>
      <c r="B45" s="8"/>
      <c r="C45" s="8"/>
      <c r="D45" s="8"/>
    </row>
    <row r="46" spans="1:5" ht="15.75" customHeight="1" x14ac:dyDescent="0.3">
      <c r="A46" s="6" t="s">
        <v>56</v>
      </c>
      <c r="B46" s="6"/>
      <c r="C46" s="6"/>
      <c r="D46" s="6"/>
    </row>
    <row r="47" spans="1:5" x14ac:dyDescent="0.3">
      <c r="A47" s="24" t="s">
        <v>57</v>
      </c>
      <c r="B47" s="24" t="s">
        <v>58</v>
      </c>
      <c r="C47" s="24" t="s">
        <v>59</v>
      </c>
      <c r="D47" s="24" t="s">
        <v>60</v>
      </c>
      <c r="E47" s="24" t="s">
        <v>61</v>
      </c>
    </row>
    <row r="48" spans="1:5" x14ac:dyDescent="0.3">
      <c r="A48" s="25">
        <f>S0_in*(1+-0.05)</f>
        <v>1.0279</v>
      </c>
      <c r="B48" s="26">
        <f t="shared" ref="B48:B58" si="0">A48*FC_AMT</f>
        <v>5139500</v>
      </c>
      <c r="C48" s="26">
        <f>B29</f>
        <v>5375000</v>
      </c>
      <c r="D48" s="26">
        <f>B35</f>
        <v>5434032.576505431</v>
      </c>
      <c r="E48" s="26">
        <f>IF(A48&gt;=K_PUT, A48*FC_AMT, K_PUT*FC_AMT)-B41</f>
        <v>5313950</v>
      </c>
    </row>
    <row r="49" spans="1:5" x14ac:dyDescent="0.3">
      <c r="A49" s="25">
        <f>S0_in*(1+-0.04)</f>
        <v>1.0387200000000001</v>
      </c>
      <c r="B49" s="26">
        <f t="shared" si="0"/>
        <v>5193600</v>
      </c>
      <c r="C49" s="26">
        <f>B29</f>
        <v>5375000</v>
      </c>
      <c r="D49" s="26">
        <f>B35</f>
        <v>5434032.576505431</v>
      </c>
      <c r="E49" s="26">
        <f>IF(A49&gt;=K_PUT, A49*FC_AMT, K_PUT*FC_AMT)-B41</f>
        <v>5313950</v>
      </c>
    </row>
    <row r="50" spans="1:5" x14ac:dyDescent="0.3">
      <c r="A50" s="25">
        <f>S0_in*(1+-0.03)</f>
        <v>1.0495400000000001</v>
      </c>
      <c r="B50" s="26">
        <f t="shared" si="0"/>
        <v>5247700.0000000009</v>
      </c>
      <c r="C50" s="26">
        <f>B29</f>
        <v>5375000</v>
      </c>
      <c r="D50" s="26">
        <f>B35</f>
        <v>5434032.576505431</v>
      </c>
      <c r="E50" s="26">
        <f>IF(A50&gt;=K_PUT, A50*FC_AMT, K_PUT*FC_AMT)-B41</f>
        <v>5313950</v>
      </c>
    </row>
    <row r="51" spans="1:5" x14ac:dyDescent="0.3">
      <c r="A51" s="25">
        <f>S0_in*(1+-0.02)</f>
        <v>1.06036</v>
      </c>
      <c r="B51" s="26">
        <f t="shared" si="0"/>
        <v>5301800</v>
      </c>
      <c r="C51" s="26">
        <f>B29</f>
        <v>5375000</v>
      </c>
      <c r="D51" s="26">
        <f>B35</f>
        <v>5434032.576505431</v>
      </c>
      <c r="E51" s="26">
        <f>IF(A51&gt;=K_PUT, A51*FC_AMT, K_PUT*FC_AMT)-B41</f>
        <v>5313950</v>
      </c>
    </row>
    <row r="52" spans="1:5" x14ac:dyDescent="0.3">
      <c r="A52" s="25">
        <f>S0_in*(1+-0.01)</f>
        <v>1.07118</v>
      </c>
      <c r="B52" s="26">
        <f t="shared" si="0"/>
        <v>5355900</v>
      </c>
      <c r="C52" s="26">
        <f>B29</f>
        <v>5375000</v>
      </c>
      <c r="D52" s="26">
        <f>B35</f>
        <v>5434032.576505431</v>
      </c>
      <c r="E52" s="26">
        <f>IF(A52&gt;=K_PUT, A52*FC_AMT, K_PUT*FC_AMT)-B41</f>
        <v>5313950</v>
      </c>
    </row>
    <row r="53" spans="1:5" x14ac:dyDescent="0.3">
      <c r="A53" s="25">
        <f>S0_in*(1+0)</f>
        <v>1.0820000000000001</v>
      </c>
      <c r="B53" s="26">
        <f t="shared" si="0"/>
        <v>5410000</v>
      </c>
      <c r="C53" s="26">
        <f>B29</f>
        <v>5375000</v>
      </c>
      <c r="D53" s="26">
        <f>B35</f>
        <v>5434032.576505431</v>
      </c>
      <c r="E53" s="26">
        <f>IF(A53&gt;=K_PUT, A53*FC_AMT, K_PUT*FC_AMT)-B41</f>
        <v>5348950</v>
      </c>
    </row>
    <row r="54" spans="1:5" x14ac:dyDescent="0.3">
      <c r="A54" s="25">
        <f>S0_in*(1+0.01)</f>
        <v>1.0928200000000001</v>
      </c>
      <c r="B54" s="26">
        <f t="shared" si="0"/>
        <v>5464100.0000000009</v>
      </c>
      <c r="C54" s="26">
        <f>B29</f>
        <v>5375000</v>
      </c>
      <c r="D54" s="26">
        <f>B35</f>
        <v>5434032.576505431</v>
      </c>
      <c r="E54" s="26">
        <f>IF(A54&gt;=K_PUT, A54*FC_AMT, K_PUT*FC_AMT)-B41</f>
        <v>5403050.0000000009</v>
      </c>
    </row>
    <row r="55" spans="1:5" x14ac:dyDescent="0.3">
      <c r="A55" s="25">
        <f>S0_in*(1+0.02)</f>
        <v>1.1036400000000002</v>
      </c>
      <c r="B55" s="26">
        <f t="shared" si="0"/>
        <v>5518200.0000000009</v>
      </c>
      <c r="C55" s="26">
        <f>B29</f>
        <v>5375000</v>
      </c>
      <c r="D55" s="26">
        <f>B35</f>
        <v>5434032.576505431</v>
      </c>
      <c r="E55" s="26">
        <f>IF(A55&gt;=K_PUT, A55*FC_AMT, K_PUT*FC_AMT)-B41</f>
        <v>5457150.0000000009</v>
      </c>
    </row>
    <row r="56" spans="1:5" x14ac:dyDescent="0.3">
      <c r="A56" s="25">
        <f>S0_in*(1+0.03)</f>
        <v>1.11446</v>
      </c>
      <c r="B56" s="26">
        <f t="shared" si="0"/>
        <v>5572300</v>
      </c>
      <c r="C56" s="26">
        <f>B29</f>
        <v>5375000</v>
      </c>
      <c r="D56" s="26">
        <f>B35</f>
        <v>5434032.576505431</v>
      </c>
      <c r="E56" s="26">
        <f>IF(A56&gt;=K_PUT, A56*FC_AMT, K_PUT*FC_AMT)-B41</f>
        <v>5511250</v>
      </c>
    </row>
    <row r="57" spans="1:5" x14ac:dyDescent="0.3">
      <c r="A57" s="25">
        <f>S0_in*(1+0.04)</f>
        <v>1.1252800000000001</v>
      </c>
      <c r="B57" s="26">
        <f t="shared" si="0"/>
        <v>5626400</v>
      </c>
      <c r="C57" s="26">
        <f>B29</f>
        <v>5375000</v>
      </c>
      <c r="D57" s="26">
        <f>B35</f>
        <v>5434032.576505431</v>
      </c>
      <c r="E57" s="26">
        <f>IF(A57&gt;=K_PUT, A57*FC_AMT, K_PUT*FC_AMT)-B41</f>
        <v>5565350</v>
      </c>
    </row>
    <row r="58" spans="1:5" x14ac:dyDescent="0.3">
      <c r="A58" s="25">
        <f>S0_in*(1+0.05)</f>
        <v>1.1361000000000001</v>
      </c>
      <c r="B58" s="26">
        <f t="shared" si="0"/>
        <v>5680500.0000000009</v>
      </c>
      <c r="C58" s="26">
        <f>B29</f>
        <v>5375000</v>
      </c>
      <c r="D58" s="26">
        <f>B35</f>
        <v>5434032.576505431</v>
      </c>
      <c r="E58" s="26">
        <f>IF(A58&gt;=K_PUT, A58*FC_AMT, K_PUT*FC_AMT)-B41</f>
        <v>5619450.0000000009</v>
      </c>
    </row>
    <row r="88" spans="1:4" ht="19.5" customHeight="1" x14ac:dyDescent="0.3">
      <c r="A88" s="8" t="s">
        <v>62</v>
      </c>
      <c r="B88" s="8"/>
      <c r="C88" s="8"/>
      <c r="D88" s="8"/>
    </row>
    <row r="89" spans="1:4" ht="15.75" customHeight="1" x14ac:dyDescent="0.3">
      <c r="A89" s="3" t="s">
        <v>63</v>
      </c>
      <c r="B89" s="3"/>
      <c r="C89" s="3"/>
      <c r="D89" s="3"/>
    </row>
    <row r="90" spans="1:4" x14ac:dyDescent="0.3">
      <c r="A90" s="27" t="s">
        <v>64</v>
      </c>
      <c r="B90" s="27" t="s">
        <v>65</v>
      </c>
      <c r="C90" s="2" t="s">
        <v>66</v>
      </c>
      <c r="D90" s="2"/>
    </row>
    <row r="91" spans="1:4" x14ac:dyDescent="0.3">
      <c r="A91" s="28" t="s">
        <v>67</v>
      </c>
      <c r="B91" s="29">
        <f>B29</f>
        <v>5375000</v>
      </c>
      <c r="C91" s="1" t="s">
        <v>68</v>
      </c>
      <c r="D91" s="1"/>
    </row>
    <row r="92" spans="1:4" x14ac:dyDescent="0.3">
      <c r="A92" s="28" t="s">
        <v>69</v>
      </c>
      <c r="B92" s="29">
        <f>B35</f>
        <v>5434032.576505431</v>
      </c>
      <c r="C92" s="1" t="s">
        <v>70</v>
      </c>
      <c r="D92" s="1"/>
    </row>
    <row r="93" spans="1:4" x14ac:dyDescent="0.3">
      <c r="A93" s="28" t="s">
        <v>71</v>
      </c>
      <c r="B93" s="29">
        <f>FC_AMT*K_PUT-B41</f>
        <v>5313950</v>
      </c>
      <c r="C93" s="1" t="s">
        <v>72</v>
      </c>
      <c r="D93" s="1"/>
    </row>
    <row r="94" spans="1:4" x14ac:dyDescent="0.3">
      <c r="A94" s="28" t="s">
        <v>73</v>
      </c>
      <c r="B94" s="29">
        <f>E58</f>
        <v>5619450.0000000009</v>
      </c>
      <c r="C94" s="1" t="s">
        <v>74</v>
      </c>
      <c r="D94" s="1"/>
    </row>
    <row r="95" spans="1:4" x14ac:dyDescent="0.3">
      <c r="A95" s="28" t="s">
        <v>75</v>
      </c>
      <c r="B95" s="29">
        <f>B48</f>
        <v>5139500</v>
      </c>
      <c r="C95" s="1" t="s">
        <v>76</v>
      </c>
      <c r="D95" s="1"/>
    </row>
    <row r="96" spans="1:4" x14ac:dyDescent="0.3">
      <c r="A96" s="28" t="s">
        <v>77</v>
      </c>
      <c r="B96" s="29">
        <f>B40</f>
        <v>60000</v>
      </c>
      <c r="C96" s="1" t="s">
        <v>78</v>
      </c>
      <c r="D96" s="1"/>
    </row>
    <row r="97" spans="1:4" x14ac:dyDescent="0.3">
      <c r="A97" s="28" t="s">
        <v>79</v>
      </c>
      <c r="B97" s="29">
        <f>ABS(B35-B29)</f>
        <v>59032.576505430974</v>
      </c>
      <c r="C97" s="1" t="s">
        <v>80</v>
      </c>
      <c r="D97" s="1"/>
    </row>
    <row r="98" spans="1:4" x14ac:dyDescent="0.3">
      <c r="A98" s="28" t="s">
        <v>81</v>
      </c>
      <c r="B98" s="30" t="s">
        <v>82</v>
      </c>
      <c r="C98" s="1" t="s">
        <v>83</v>
      </c>
      <c r="D98" s="1"/>
    </row>
  </sheetData>
  <mergeCells count="36">
    <mergeCell ref="C98:D98"/>
    <mergeCell ref="C93:D93"/>
    <mergeCell ref="C94:D94"/>
    <mergeCell ref="C95:D95"/>
    <mergeCell ref="C96:D96"/>
    <mergeCell ref="C97:D97"/>
    <mergeCell ref="A88:D88"/>
    <mergeCell ref="A89:D89"/>
    <mergeCell ref="C90:D90"/>
    <mergeCell ref="C91:D91"/>
    <mergeCell ref="C92:D92"/>
    <mergeCell ref="A38:D38"/>
    <mergeCell ref="A39:D39"/>
    <mergeCell ref="A43:D43"/>
    <mergeCell ref="A45:D45"/>
    <mergeCell ref="A46:D46"/>
    <mergeCell ref="A22:D22"/>
    <mergeCell ref="A27:D27"/>
    <mergeCell ref="A28:D28"/>
    <mergeCell ref="A31:D31"/>
    <mergeCell ref="A32:D32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1:D1"/>
    <mergeCell ref="A2:D2"/>
    <mergeCell ref="A3:D3"/>
    <mergeCell ref="A9:D9"/>
    <mergeCell ref="A10:D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15.6" x14ac:dyDescent="0.3">
      <c r="A1" s="8" t="s">
        <v>84</v>
      </c>
      <c r="B1" s="8"/>
    </row>
    <row r="3" spans="1:2" x14ac:dyDescent="0.3">
      <c r="A3" s="31" t="s">
        <v>85</v>
      </c>
      <c r="B3" s="31" t="s">
        <v>86</v>
      </c>
    </row>
    <row r="4" spans="1:2" ht="27" x14ac:dyDescent="0.3">
      <c r="A4" s="11" t="s">
        <v>87</v>
      </c>
      <c r="B4" s="32" t="s">
        <v>88</v>
      </c>
    </row>
    <row r="5" spans="1:2" x14ac:dyDescent="0.3">
      <c r="A5" s="11" t="s">
        <v>89</v>
      </c>
      <c r="B5" s="32" t="s">
        <v>90</v>
      </c>
    </row>
    <row r="6" spans="1:2" ht="27" x14ac:dyDescent="0.3">
      <c r="A6" s="11" t="s">
        <v>91</v>
      </c>
      <c r="B6" s="32" t="s">
        <v>92</v>
      </c>
    </row>
    <row r="7" spans="1:2" ht="27" x14ac:dyDescent="0.3">
      <c r="A7" s="11" t="s">
        <v>93</v>
      </c>
      <c r="B7" s="32" t="s">
        <v>94</v>
      </c>
    </row>
    <row r="8" spans="1:2" x14ac:dyDescent="0.3">
      <c r="A8" s="11" t="s">
        <v>95</v>
      </c>
      <c r="B8" s="32" t="s">
        <v>96</v>
      </c>
    </row>
    <row r="9" spans="1:2" ht="27" x14ac:dyDescent="0.3">
      <c r="A9" s="11" t="s">
        <v>97</v>
      </c>
      <c r="B9" s="32" t="s">
        <v>98</v>
      </c>
    </row>
    <row r="10" spans="1:2" ht="27" x14ac:dyDescent="0.3">
      <c r="A10" s="11" t="s">
        <v>99</v>
      </c>
      <c r="B10" s="32" t="s">
        <v>100</v>
      </c>
    </row>
    <row r="11" spans="1:2" ht="27" x14ac:dyDescent="0.3">
      <c r="A11" s="11" t="s">
        <v>101</v>
      </c>
      <c r="B11" s="32" t="s">
        <v>102</v>
      </c>
    </row>
    <row r="12" spans="1:2" ht="27" x14ac:dyDescent="0.3">
      <c r="A12" s="11" t="s">
        <v>103</v>
      </c>
      <c r="B12" s="32" t="s">
        <v>104</v>
      </c>
    </row>
    <row r="13" spans="1:2" x14ac:dyDescent="0.3">
      <c r="A13" s="11" t="s">
        <v>105</v>
      </c>
      <c r="B13" s="32" t="s">
        <v>106</v>
      </c>
    </row>
    <row r="14" spans="1:2" ht="27" x14ac:dyDescent="0.3">
      <c r="A14" s="11" t="s">
        <v>107</v>
      </c>
      <c r="B14" s="32" t="s">
        <v>108</v>
      </c>
    </row>
    <row r="15" spans="1:2" ht="27" x14ac:dyDescent="0.3">
      <c r="A15" s="11" t="s">
        <v>109</v>
      </c>
      <c r="B15" s="32" t="s">
        <v>110</v>
      </c>
    </row>
    <row r="16" spans="1:2" x14ac:dyDescent="0.3">
      <c r="A16" s="11" t="s">
        <v>111</v>
      </c>
      <c r="B16" s="32" t="s">
        <v>112</v>
      </c>
    </row>
    <row r="17" spans="1:2" ht="27" x14ac:dyDescent="0.3">
      <c r="A17" s="11" t="s">
        <v>113</v>
      </c>
      <c r="B17" s="32" t="s">
        <v>114</v>
      </c>
    </row>
    <row r="18" spans="1:2" ht="27" x14ac:dyDescent="0.3">
      <c r="A18" s="11" t="s">
        <v>115</v>
      </c>
      <c r="B18" s="32" t="s">
        <v>116</v>
      </c>
    </row>
    <row r="19" spans="1:2" ht="27" x14ac:dyDescent="0.3">
      <c r="A19" s="11" t="s">
        <v>117</v>
      </c>
      <c r="B19" s="32" t="s">
        <v>118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FX Hedge Model</vt:lpstr>
      <vt:lpstr>Notes &amp; Assumptions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Rick Harrison</cp:lastModifiedBy>
  <cp:revision>1</cp:revision>
  <dcterms:created xsi:type="dcterms:W3CDTF">2026-04-18T07:14:20Z</dcterms:created>
  <dcterms:modified xsi:type="dcterms:W3CDTF">2026-04-18T08:00:34Z</dcterms:modified>
  <dc:language>en-US</dc:language>
</cp:coreProperties>
</file>